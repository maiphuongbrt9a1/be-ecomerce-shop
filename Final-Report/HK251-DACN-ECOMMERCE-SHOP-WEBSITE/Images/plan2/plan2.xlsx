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BkEduDocs\Self_Study\Code\be-ecomerce-shop\Final-Report\HK251-DACN-ECOMMERCE-SHOP-WEBSITE\Images\plan2\"/>
    </mc:Choice>
  </mc:AlternateContent>
  <xr:revisionPtr revIDLastSave="0" documentId="8_{337D3FC2-60DA-44C4-AFB4-A3A5F87286BD}" xr6:coauthVersionLast="47" xr6:coauthVersionMax="47" xr10:uidLastSave="{00000000-0000-0000-0000-000000000000}"/>
  <bookViews>
    <workbookView xWindow="-108" yWindow="-108" windowWidth="23256" windowHeight="12576" xr2:uid="{59DB41C4-A15A-4628-9519-025150C2E5C6}"/>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1" l="1"/>
  <c r="B10" i="1" s="1"/>
  <c r="B12" i="1" s="1"/>
  <c r="B13" i="1" s="1"/>
  <c r="B14" i="1" s="1"/>
  <c r="B15" i="1" s="1"/>
  <c r="B16" i="1" s="1"/>
  <c r="B17" i="1" s="1"/>
  <c r="B18" i="1" s="1"/>
  <c r="B19" i="1" s="1"/>
  <c r="B20" i="1" s="1"/>
  <c r="B21" i="1" s="1"/>
  <c r="B22" i="1" s="1"/>
  <c r="B23" i="1" s="1"/>
  <c r="B24" i="1" s="1"/>
</calcChain>
</file>

<file path=xl/sharedStrings.xml><?xml version="1.0" encoding="utf-8"?>
<sst xmlns="http://schemas.openxmlformats.org/spreadsheetml/2006/main" count="20" uniqueCount="20">
  <si>
    <t>ĐỀ TÀI: PHÁT TRIỂN HỆ THỐNG BÁN HÀNG TRỰC TUYẾN
CHO CỬA HÀNG THỜI TRANG</t>
  </si>
  <si>
    <t>LỊCH TRÌNH ĐỒ ÁN TỐT NGHIỆP: TỪ 12/01/2026 ĐẾN HẾT 27/04/2026 (HẾT 15 TUẦN)</t>
  </si>
  <si>
    <t xml:space="preserve">Tuần </t>
  </si>
  <si>
    <t>Ngày đầu tuần</t>
  </si>
  <si>
    <t>Công việc</t>
  </si>
  <si>
    <t>Chi tiết nội dung công việc</t>
  </si>
  <si>
    <t xml:space="preserve"> - Nâng cấp UI cải thiện trải nghiệm người dùng.
- Thực hiện việc đề xuất và cá nhân hóa cho từng người dùng.
- Viết báo cáo hàng tuần</t>
  </si>
  <si>
    <t>-Tích hợp hệ thống thanh toán bên thứ 3: VNPay, MOMO.
- Viết báo cáo hàng tuần</t>
  </si>
  <si>
    <t>- Tích hợp hệ thống thông báo realtime cho các sự kiện hệ thống.
- Xây dựng tính năng nhắn tin realtime .
- Viết báo cáo hàng tuần</t>
  </si>
  <si>
    <t>- Tích hợp các chức năng báo cáo trên dashboard của người quản trị viên.
- Viết báo cáo hàng tuần</t>
  </si>
  <si>
    <t>- Hiện thực tinh chỉnh giao diện dark mode.
- Hiện thực tích hợp đa ngôn ngữ: Tiếng Việt / Tiếng Anh.
- Viết báo cáo hàng tuần</t>
  </si>
  <si>
    <t>- Tích hợp thư viện react-i18next cho việc cấu hình ngôn ngữ việt nam, english.
- Viết báo cáo hàng tuần</t>
  </si>
  <si>
    <t>- Hiện thực bộ lọc: Xây dựng api hỗ trợ lọc đa điều kiện. (Lọc theo khoảng giá, màu sắc, kích thước, danh mục sản phẩm, hot trend,..). 
- Tối ưu Query để xử lý việc truy xuất trên nhiều bảng trong cơ sở dữ liệu để lấy được kết quả theo bộ lọc.
- Hiện thực logic đề xuất theo danh mục (đề xuất bằng các sản phẩm đang bán chạy trong danh mục.).
- Hiện thực logic đề xuất theo lịch xử duyệt web và mua hàng của người dùng (đề xuất giải thuật k-Nearest Neighbors).
- Hiện thực UI tương ứng với các tính năng trên.
- Viết báo cáo hàng tuần</t>
  </si>
  <si>
    <t>- Tiến hành xây dựng api tích hợp cho việc kết nối cổng thanh toán vnpay. Momo,
-Hiện thực các UI tương ứng nếu có.
- Xử lý việc cập nhật trạng thái thanh toán của đơn hàng sau khi thanh toán thành công. 
- Hiện thực thông báo realtime khi thanh toán thành công / thất bại.
- Viết báo cáo hàng tuần</t>
  </si>
  <si>
    <t>- Xây dựng tính năng thông báo và nhắn tin realtime dựa trên thư viện Socket.io của Nestjs hỗ trợ.
- Viết báo cáo hàng tuần</t>
  </si>
  <si>
    <t>- Xây dựng các apis query kết quả tổng kết doanh thu, tổng kết đơn hàng, tổng kết số lượng đơn giao thành công, đơn trả hàng,….
- Query các thông số sản phẩm bán chạy nhất, nhân viên doanh số cao nhất, danh sách số lượng hàng tồn còn lại trong kho,…
- Hiện thực và tinh chỉnh UI theo figma đã có.
- Viết báo cáo hàng tuần</t>
  </si>
  <si>
    <t>- Thực hiện testing và đánh giá:
Unit testing,  integration testing, system testing và acceptance testing.</t>
  </si>
  <si>
    <t xml:space="preserve">- Kiểm tra và cập nhật validate và transform dữ liệu ở front-end và cả backend. Dùng các thư viện được hỗ trợ sẵn như class-validate, class-tranformer.
- Kiểm tra và cập nhật lỗ hổng để lộ thông tin người dùng ví dụ như mật khẩu người dùng.
- Kiểm tra và cập nhật vấn đề N + 1 query .
- Kiểm tra và cập nhật index cho các bảng thường xuyên được truy xuất ví dụ Order, Payment, Product, ProductVariant.
- Kiểm tra và cập nhật phân trang trong các api trả về kết quả là một danh sách các đối tượng.
- Kiểm tra và cập nhật transaction cho các api có nghiệp vụ xử lý phức tạp trên nhiều bảng một lúc. Đảm bảo rollback ngay lập tức khi có lỗi. 
- Thực hiện try catch cho việc bắt lỗi hệ thống.
- Check và cập nhật lỗi IDOR.
- Kiểm tra và cập nhật để tránh lỗi SQL Injection khi dùng các Raw Query.
- Kiểm tra và cập nhật các lỗi để tránh tấn công Cross-Site Scripting.
- Viết báo cáo hàng tuần
</t>
  </si>
  <si>
    <t>Deploy và demo</t>
  </si>
  <si>
    <t>- Triển khai hệ thống lên server.
- Cấu hình timeout cho server.
- Cấu hình iptable để hạn chế số lượng request mà 1IP có thể gửi trong 1s, chặn IP khi một IP nào đó khi nó gửi quá số lượng request cho phép để hạn chế ảnh hưởng của Dos/DDoS 
- Cấu hình CDN Cloudflare để hạn chế ảnh hưởng của Dos/DDoS .
- Cấu hình load balancing bằng Nginx.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</si>
</sst>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FF0000"/>
      <name val="Times New Roman"/>
      <family val="1"/>
    </font>
    <font>
      <b/>
      <sz val="1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center" wrapText="1"/>
    </xf>
    <xf numFmtId="0" fontId="0" fillId="0" borderId="1" xfId="0" applyBorder="1"/>
    <xf numFmtId="0" fontId="1"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quotePrefix="1" applyBorder="1" applyAlignment="1">
      <alignment horizontal="left" wrapText="1"/>
    </xf>
    <xf numFmtId="0" fontId="0" fillId="0" borderId="1" xfId="0" quotePrefix="1" applyBorder="1" applyAlignment="1">
      <alignment horizontal="left"/>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quotePrefix="1" applyFill="1" applyBorder="1" applyAlignment="1">
      <alignment horizontal="left" vertical="center" wrapText="1"/>
    </xf>
    <xf numFmtId="0" fontId="0" fillId="3" borderId="1" xfId="0" quotePrefix="1" applyFill="1" applyBorder="1" applyAlignment="1">
      <alignment horizontal="left" wrapText="1"/>
    </xf>
    <xf numFmtId="0" fontId="0" fillId="3" borderId="1" xfId="0" applyFill="1" applyBorder="1" applyAlignment="1">
      <alignment horizontal="left"/>
    </xf>
    <xf numFmtId="0" fontId="0" fillId="3" borderId="1" xfId="0" quotePrefix="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06A49-778C-4A75-B7DE-1CD7B98FF519}">
  <dimension ref="A1:L24"/>
  <sheetViews>
    <sheetView tabSelected="1" topLeftCell="A16" zoomScale="112" zoomScaleNormal="112" workbookViewId="0">
      <selection activeCell="E27" sqref="E27"/>
    </sheetView>
  </sheetViews>
  <sheetFormatPr defaultRowHeight="14.4" x14ac:dyDescent="0.3"/>
  <cols>
    <col min="1" max="1" width="5.6640625" bestFit="1" customWidth="1"/>
    <col min="2" max="2" width="9.5546875" bestFit="1" customWidth="1"/>
    <col min="7" max="7" width="39.33203125" customWidth="1"/>
    <col min="12" max="12" width="75.109375" customWidth="1"/>
  </cols>
  <sheetData>
    <row r="1" spans="1:12" x14ac:dyDescent="0.3">
      <c r="A1" s="1" t="s">
        <v>0</v>
      </c>
      <c r="B1" s="1"/>
      <c r="C1" s="1"/>
      <c r="D1" s="1"/>
      <c r="E1" s="1"/>
      <c r="F1" s="1"/>
      <c r="G1" s="1"/>
      <c r="H1" s="1"/>
      <c r="I1" s="1"/>
      <c r="J1" s="1"/>
      <c r="K1" s="1"/>
      <c r="L1" s="2"/>
    </row>
    <row r="2" spans="1:12" x14ac:dyDescent="0.3">
      <c r="A2" s="3" t="s">
        <v>1</v>
      </c>
      <c r="B2" s="3"/>
      <c r="C2" s="3"/>
      <c r="D2" s="3"/>
      <c r="E2" s="3"/>
      <c r="F2" s="3"/>
      <c r="G2" s="3"/>
      <c r="H2" s="3"/>
      <c r="I2" s="3"/>
      <c r="J2" s="3"/>
      <c r="K2" s="3"/>
      <c r="L2" s="3"/>
    </row>
    <row r="3" spans="1:12" x14ac:dyDescent="0.3">
      <c r="A3" s="4" t="s">
        <v>2</v>
      </c>
      <c r="B3" s="5" t="s">
        <v>3</v>
      </c>
      <c r="C3" s="5"/>
      <c r="D3" s="5" t="s">
        <v>4</v>
      </c>
      <c r="E3" s="5"/>
      <c r="F3" s="5"/>
      <c r="G3" s="5"/>
      <c r="H3" s="5" t="s">
        <v>5</v>
      </c>
      <c r="I3" s="5"/>
      <c r="J3" s="5"/>
      <c r="K3" s="5"/>
      <c r="L3" s="5"/>
    </row>
    <row r="4" spans="1:12" x14ac:dyDescent="0.3">
      <c r="A4" s="12">
        <v>1</v>
      </c>
      <c r="B4" s="6">
        <f>DATE(2026,1,12)</f>
        <v>46034</v>
      </c>
      <c r="C4" s="6"/>
      <c r="D4" s="7" t="s">
        <v>6</v>
      </c>
      <c r="E4" s="7"/>
      <c r="F4" s="7"/>
      <c r="G4" s="7"/>
      <c r="H4" s="8" t="s">
        <v>12</v>
      </c>
      <c r="I4" s="8"/>
      <c r="J4" s="8"/>
      <c r="K4" s="8"/>
      <c r="L4" s="8"/>
    </row>
    <row r="5" spans="1:12" x14ac:dyDescent="0.3">
      <c r="A5" s="12"/>
      <c r="B5" s="6"/>
      <c r="C5" s="6"/>
      <c r="D5" s="7"/>
      <c r="E5" s="7"/>
      <c r="F5" s="7"/>
      <c r="G5" s="7"/>
      <c r="H5" s="8"/>
      <c r="I5" s="8"/>
      <c r="J5" s="8"/>
      <c r="K5" s="8"/>
      <c r="L5" s="8"/>
    </row>
    <row r="6" spans="1:12" x14ac:dyDescent="0.3">
      <c r="A6" s="12"/>
      <c r="B6" s="6"/>
      <c r="C6" s="6"/>
      <c r="D6" s="7"/>
      <c r="E6" s="7"/>
      <c r="F6" s="7"/>
      <c r="G6" s="7"/>
      <c r="H6" s="8"/>
      <c r="I6" s="8"/>
      <c r="J6" s="8"/>
      <c r="K6" s="8"/>
      <c r="L6" s="8"/>
    </row>
    <row r="7" spans="1:12" x14ac:dyDescent="0.3">
      <c r="A7" s="12"/>
      <c r="B7" s="6"/>
      <c r="C7" s="6"/>
      <c r="D7" s="7"/>
      <c r="E7" s="7"/>
      <c r="F7" s="7"/>
      <c r="G7" s="7"/>
      <c r="H7" s="8"/>
      <c r="I7" s="8"/>
      <c r="J7" s="8"/>
      <c r="K7" s="8"/>
      <c r="L7" s="8"/>
    </row>
    <row r="8" spans="1:12" x14ac:dyDescent="0.3">
      <c r="A8" s="12"/>
      <c r="B8" s="6"/>
      <c r="C8" s="6"/>
      <c r="D8" s="7"/>
      <c r="E8" s="7"/>
      <c r="F8" s="7"/>
      <c r="G8" s="7"/>
      <c r="H8" s="8"/>
      <c r="I8" s="8"/>
      <c r="J8" s="8"/>
      <c r="K8" s="8"/>
      <c r="L8" s="8"/>
    </row>
    <row r="9" spans="1:12" x14ac:dyDescent="0.3">
      <c r="A9" s="12"/>
      <c r="B9" s="6"/>
      <c r="C9" s="6"/>
      <c r="D9" s="7"/>
      <c r="E9" s="7"/>
      <c r="F9" s="7"/>
      <c r="G9" s="7"/>
      <c r="H9" s="8"/>
      <c r="I9" s="8"/>
      <c r="J9" s="8"/>
      <c r="K9" s="8"/>
      <c r="L9" s="8"/>
    </row>
    <row r="10" spans="1:12" x14ac:dyDescent="0.3">
      <c r="A10" s="12">
        <v>2</v>
      </c>
      <c r="B10" s="6">
        <f>B4+7</f>
        <v>46041</v>
      </c>
      <c r="C10" s="6"/>
      <c r="D10" s="7"/>
      <c r="E10" s="7"/>
      <c r="F10" s="7"/>
      <c r="G10" s="7"/>
      <c r="H10" s="8"/>
      <c r="I10" s="8"/>
      <c r="J10" s="8"/>
      <c r="K10" s="8"/>
      <c r="L10" s="8"/>
    </row>
    <row r="11" spans="1:12" x14ac:dyDescent="0.3">
      <c r="A11" s="12"/>
      <c r="B11" s="6"/>
      <c r="C11" s="6"/>
      <c r="D11" s="7"/>
      <c r="E11" s="7"/>
      <c r="F11" s="7"/>
      <c r="G11" s="7"/>
      <c r="H11" s="8"/>
      <c r="I11" s="8"/>
      <c r="J11" s="8"/>
      <c r="K11" s="8"/>
      <c r="L11" s="8"/>
    </row>
    <row r="12" spans="1:12" x14ac:dyDescent="0.3">
      <c r="A12" s="14">
        <v>3</v>
      </c>
      <c r="B12" s="15">
        <f>B10+7</f>
        <v>46048</v>
      </c>
      <c r="C12" s="15"/>
      <c r="D12" s="16" t="s">
        <v>7</v>
      </c>
      <c r="E12" s="16"/>
      <c r="F12" s="16"/>
      <c r="G12" s="16"/>
      <c r="H12" s="17" t="s">
        <v>13</v>
      </c>
      <c r="I12" s="18"/>
      <c r="J12" s="18"/>
      <c r="K12" s="18"/>
      <c r="L12" s="18"/>
    </row>
    <row r="13" spans="1:12" ht="66" customHeight="1" x14ac:dyDescent="0.3">
      <c r="A13" s="14">
        <v>4</v>
      </c>
      <c r="B13" s="15">
        <f t="shared" ref="B13:B24" si="0">B12+7</f>
        <v>46055</v>
      </c>
      <c r="C13" s="15"/>
      <c r="D13" s="16"/>
      <c r="E13" s="16"/>
      <c r="F13" s="16"/>
      <c r="G13" s="16"/>
      <c r="H13" s="18"/>
      <c r="I13" s="18"/>
      <c r="J13" s="18"/>
      <c r="K13" s="18"/>
      <c r="L13" s="18"/>
    </row>
    <row r="14" spans="1:12" x14ac:dyDescent="0.3">
      <c r="A14" s="13">
        <v>5</v>
      </c>
      <c r="B14" s="6">
        <f t="shared" si="0"/>
        <v>46062</v>
      </c>
      <c r="C14" s="6"/>
      <c r="D14" s="8" t="s">
        <v>8</v>
      </c>
      <c r="E14" s="8"/>
      <c r="F14" s="8"/>
      <c r="G14" s="8"/>
      <c r="H14" s="9" t="s">
        <v>14</v>
      </c>
      <c r="I14" s="10"/>
      <c r="J14" s="10"/>
      <c r="K14" s="10"/>
      <c r="L14" s="10"/>
    </row>
    <row r="15" spans="1:12" ht="31.2" customHeight="1" x14ac:dyDescent="0.3">
      <c r="A15" s="13">
        <v>6</v>
      </c>
      <c r="B15" s="6">
        <f t="shared" si="0"/>
        <v>46069</v>
      </c>
      <c r="C15" s="6"/>
      <c r="D15" s="8"/>
      <c r="E15" s="8"/>
      <c r="F15" s="8"/>
      <c r="G15" s="8"/>
      <c r="H15" s="10"/>
      <c r="I15" s="10"/>
      <c r="J15" s="10"/>
      <c r="K15" s="10"/>
      <c r="L15" s="10"/>
    </row>
    <row r="16" spans="1:12" x14ac:dyDescent="0.3">
      <c r="A16" s="14">
        <v>7</v>
      </c>
      <c r="B16" s="15">
        <f t="shared" si="0"/>
        <v>46076</v>
      </c>
      <c r="C16" s="15"/>
      <c r="D16" s="16" t="s">
        <v>9</v>
      </c>
      <c r="E16" s="19"/>
      <c r="F16" s="19"/>
      <c r="G16" s="19"/>
      <c r="H16" s="17" t="s">
        <v>15</v>
      </c>
      <c r="I16" s="17"/>
      <c r="J16" s="17"/>
      <c r="K16" s="17"/>
      <c r="L16" s="17"/>
    </row>
    <row r="17" spans="1:12" ht="47.4" customHeight="1" x14ac:dyDescent="0.3">
      <c r="A17" s="14">
        <v>8</v>
      </c>
      <c r="B17" s="15">
        <f t="shared" si="0"/>
        <v>46083</v>
      </c>
      <c r="C17" s="15"/>
      <c r="D17" s="19"/>
      <c r="E17" s="19"/>
      <c r="F17" s="19"/>
      <c r="G17" s="19"/>
      <c r="H17" s="17"/>
      <c r="I17" s="17"/>
      <c r="J17" s="17"/>
      <c r="K17" s="17"/>
      <c r="L17" s="17"/>
    </row>
    <row r="18" spans="1:12" x14ac:dyDescent="0.3">
      <c r="A18" s="13">
        <v>9</v>
      </c>
      <c r="B18" s="6">
        <f t="shared" si="0"/>
        <v>46090</v>
      </c>
      <c r="C18" s="6"/>
      <c r="D18" s="8" t="s">
        <v>10</v>
      </c>
      <c r="E18" s="8"/>
      <c r="F18" s="8"/>
      <c r="G18" s="8"/>
      <c r="H18" s="8" t="s">
        <v>11</v>
      </c>
      <c r="I18" s="11"/>
      <c r="J18" s="11"/>
      <c r="K18" s="11"/>
      <c r="L18" s="11"/>
    </row>
    <row r="19" spans="1:12" ht="33" customHeight="1" x14ac:dyDescent="0.3">
      <c r="A19" s="13">
        <v>10</v>
      </c>
      <c r="B19" s="6">
        <f t="shared" si="0"/>
        <v>46097</v>
      </c>
      <c r="C19" s="6"/>
      <c r="D19" s="8"/>
      <c r="E19" s="8"/>
      <c r="F19" s="8"/>
      <c r="G19" s="8"/>
      <c r="H19" s="11"/>
      <c r="I19" s="11"/>
      <c r="J19" s="11"/>
      <c r="K19" s="11"/>
      <c r="L19" s="11"/>
    </row>
    <row r="20" spans="1:12" x14ac:dyDescent="0.3">
      <c r="A20" s="14">
        <v>11</v>
      </c>
      <c r="B20" s="15">
        <f t="shared" si="0"/>
        <v>46104</v>
      </c>
      <c r="C20" s="15"/>
      <c r="D20" s="16" t="s">
        <v>16</v>
      </c>
      <c r="E20" s="16"/>
      <c r="F20" s="16"/>
      <c r="G20" s="16"/>
      <c r="H20" s="17" t="s">
        <v>17</v>
      </c>
      <c r="I20" s="17"/>
      <c r="J20" s="17"/>
      <c r="K20" s="17"/>
      <c r="L20" s="17"/>
    </row>
    <row r="21" spans="1:12" ht="69" customHeight="1" x14ac:dyDescent="0.3">
      <c r="A21" s="14">
        <v>12</v>
      </c>
      <c r="B21" s="15">
        <f t="shared" si="0"/>
        <v>46111</v>
      </c>
      <c r="C21" s="15"/>
      <c r="D21" s="16"/>
      <c r="E21" s="16"/>
      <c r="F21" s="16"/>
      <c r="G21" s="16"/>
      <c r="H21" s="17"/>
      <c r="I21" s="17"/>
      <c r="J21" s="17"/>
      <c r="K21" s="17"/>
      <c r="L21" s="17"/>
    </row>
    <row r="22" spans="1:12" ht="45" customHeight="1" x14ac:dyDescent="0.3">
      <c r="A22" s="14">
        <v>13</v>
      </c>
      <c r="B22" s="15">
        <f t="shared" si="0"/>
        <v>46118</v>
      </c>
      <c r="C22" s="15"/>
      <c r="D22" s="16"/>
      <c r="E22" s="16"/>
      <c r="F22" s="16"/>
      <c r="G22" s="16"/>
      <c r="H22" s="17"/>
      <c r="I22" s="17"/>
      <c r="J22" s="17"/>
      <c r="K22" s="17"/>
      <c r="L22" s="17"/>
    </row>
    <row r="23" spans="1:12" x14ac:dyDescent="0.3">
      <c r="A23" s="13">
        <v>14</v>
      </c>
      <c r="B23" s="6">
        <f t="shared" si="0"/>
        <v>46125</v>
      </c>
      <c r="C23" s="6"/>
      <c r="D23" s="11" t="s">
        <v>18</v>
      </c>
      <c r="E23" s="11"/>
      <c r="F23" s="11"/>
      <c r="G23" s="11"/>
      <c r="H23" s="9" t="s">
        <v>19</v>
      </c>
      <c r="I23" s="9"/>
      <c r="J23" s="9"/>
      <c r="K23" s="9"/>
      <c r="L23" s="9"/>
    </row>
    <row r="24" spans="1:12" ht="73.8" customHeight="1" x14ac:dyDescent="0.3">
      <c r="A24" s="13">
        <v>15</v>
      </c>
      <c r="B24" s="6">
        <f t="shared" si="0"/>
        <v>46132</v>
      </c>
      <c r="C24" s="6"/>
      <c r="D24" s="11"/>
      <c r="E24" s="11"/>
      <c r="F24" s="11"/>
      <c r="G24" s="11"/>
      <c r="H24" s="9"/>
      <c r="I24" s="9"/>
      <c r="J24" s="9"/>
      <c r="K24" s="9"/>
      <c r="L24" s="9"/>
    </row>
  </sheetData>
  <mergeCells count="36">
    <mergeCell ref="H23:L24"/>
    <mergeCell ref="D12:G13"/>
    <mergeCell ref="H12:L13"/>
    <mergeCell ref="D4:G11"/>
    <mergeCell ref="H4:L11"/>
    <mergeCell ref="D14:G15"/>
    <mergeCell ref="H14:L15"/>
    <mergeCell ref="A4:A9"/>
    <mergeCell ref="B4:C9"/>
    <mergeCell ref="A10:A11"/>
    <mergeCell ref="B10:C11"/>
    <mergeCell ref="H16:L17"/>
    <mergeCell ref="H18:L19"/>
    <mergeCell ref="H20:L22"/>
    <mergeCell ref="H3:L3"/>
    <mergeCell ref="D18:G19"/>
    <mergeCell ref="D20:G22"/>
    <mergeCell ref="D23:G24"/>
    <mergeCell ref="D16:G17"/>
    <mergeCell ref="B19:C19"/>
    <mergeCell ref="B20:C20"/>
    <mergeCell ref="B21:C21"/>
    <mergeCell ref="B22:C22"/>
    <mergeCell ref="B23:C23"/>
    <mergeCell ref="B24:C24"/>
    <mergeCell ref="B13:C13"/>
    <mergeCell ref="B14:C14"/>
    <mergeCell ref="B15:C15"/>
    <mergeCell ref="B16:C16"/>
    <mergeCell ref="B17:C17"/>
    <mergeCell ref="B18:C18"/>
    <mergeCell ref="A1:K1"/>
    <mergeCell ref="A2:L2"/>
    <mergeCell ref="B3:C3"/>
    <mergeCell ref="B12:C12"/>
    <mergeCell ref="D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Võ</dc:creator>
  <cp:lastModifiedBy>Phương Võ</cp:lastModifiedBy>
  <dcterms:created xsi:type="dcterms:W3CDTF">2025-12-17T09:53:02Z</dcterms:created>
  <dcterms:modified xsi:type="dcterms:W3CDTF">2025-12-17T11:23:20Z</dcterms:modified>
</cp:coreProperties>
</file>